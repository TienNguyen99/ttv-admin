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NH_D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<sst xmlns="http://schemas.openxmlformats.org/spreadsheetml/2006/main" uniqueCount="58">
  <si>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LỆNH DỆT</t>
  </si>
  <si>
    <t>Khách Hàng:</t>
  </si>
  <si>
    <t>UNIPAX</t>
  </si>
  <si>
    <t>LỆNH IN</t>
  </si>
  <si>
    <t>T-02064/26</t>
  </si>
  <si>
    <t>PO:</t>
  </si>
  <si>
    <t>PUM-20260725-0002</t>
  </si>
  <si>
    <t>MÃ HÀNG:</t>
  </si>
  <si>
    <t>Job #</t>
  </si>
  <si>
    <t>MÃ SỐ DESIGN</t>
  </si>
  <si>
    <t>NGÀY GIAO</t>
  </si>
  <si>
    <t>Ten Label</t>
  </si>
  <si>
    <t>WOVEN LABEL</t>
  </si>
  <si>
    <t>Loai</t>
  </si>
  <si>
    <t>KỆ/VỊ TRÍ</t>
  </si>
  <si>
    <t>Ten Mau Chi</t>
  </si>
  <si>
    <t>TL/1PCS</t>
  </si>
  <si>
    <t>T.L(g)</t>
  </si>
  <si>
    <t>Ui Keo</t>
  </si>
  <si>
    <t>SỢI 75D CH MÀU ĐEN 75</t>
  </si>
  <si>
    <t>Loop</t>
  </si>
  <si>
    <t>CAT HAI DAU</t>
  </si>
  <si>
    <t>SOI-75DTRANGTAY</t>
  </si>
  <si>
    <t>SỢI 75D CH MÀU TRẮNG TẨY</t>
  </si>
  <si>
    <t>Phần Trên</t>
  </si>
  <si>
    <t>CANH GIUA</t>
  </si>
  <si>
    <t>Phần Dưới</t>
  </si>
  <si>
    <t>Chiều Dài</t>
  </si>
  <si>
    <t>24MM</t>
  </si>
  <si>
    <t>Hoàn Chỉnh</t>
  </si>
  <si>
    <t>H: 20MM * W:12MM</t>
  </si>
  <si>
    <t>Ma So Hop</t>
  </si>
  <si>
    <t>So Luong/hop</t>
  </si>
  <si>
    <t>SỢI DỌC</t>
  </si>
  <si>
    <t>So Pick</t>
  </si>
  <si>
    <t>Mat Do</t>
  </si>
  <si>
    <t>May</t>
  </si>
  <si>
    <t>So Cuon</t>
  </si>
  <si>
    <t>So Luong
 +10%</t>
  </si>
  <si>
    <t>So Dong+10%</t>
  </si>
  <si>
    <t>CA</t>
  </si>
  <si>
    <t>Muller</t>
  </si>
  <si>
    <t>Hi-Tex</t>
  </si>
  <si>
    <t>TÊN FILE</t>
  </si>
  <si>
    <t>USB</t>
  </si>
  <si>
    <t>HÌNH ẢNH</t>
  </si>
  <si>
    <t>MÁY NHỎ</t>
  </si>
  <si>
    <t>MÁY LỚN</t>
  </si>
  <si>
    <t>LENH-DET_T-02064-26_22114411_20260725</t>
  </si>
  <si>
    <t>SIZE/
 MÃ HÀNG</t>
  </si>
  <si>
    <t>SỐ LƯỢNG</t>
  </si>
  <si>
    <t>SỐ DÒNG</t>
  </si>
  <si>
    <t>NHẬP KHO</t>
  </si>
  <si>
    <t>NGÀY NHẬP KHO</t>
  </si>
  <si>
    <t>NVSX</t>
  </si>
  <si>
    <t>SỐ LƯỢNG
  SX</t>
  </si>
  <si>
    <t>MÁY</t>
  </si>
  <si>
    <t>CA SX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</si>
</sst>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4"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6.0"/>
      <color rgb="FF000000"/>
      <name val="Cambria"/>
    </font>
    <font>
      <b val="1"/>
      <i val="0"/>
      <strike val="0"/>
      <u val="none"/>
      <sz val="10"/>
      <color rgb="FF000000"/>
      <name val="Cambria"/>
    </font>
    <font>
      <b val="1"/>
      <i val="0"/>
      <strike val="0"/>
      <u val="none"/>
      <sz val="11.0"/>
      <color rgb="FFFF0000"/>
      <name val="Cambria"/>
    </font>
    <font>
      <b val="1"/>
      <i val="0"/>
      <strike val="0"/>
      <u val="none"/>
      <sz val="13.0"/>
      <color rgb="FFFF0000"/>
      <name val="Cambria"/>
    </font>
    <font>
      <b val="0"/>
      <i val="0"/>
      <strike val="0"/>
      <u val="none"/>
      <sz val="10"/>
      <color rgb="FF000000"/>
      <name val="Cambria"/>
    </font>
    <font>
      <b val="1"/>
      <i val="0"/>
      <strike val="0"/>
      <u val="none"/>
      <sz val="9.0"/>
      <color rgb="FF000000"/>
      <name val="Cambria"/>
    </font>
    <font>
      <b val="1"/>
      <i val="0"/>
      <strike val="0"/>
      <u val="none"/>
      <sz val="12.0"/>
      <color rgb="FF000000"/>
      <name val="Cambri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.0"/>
      <color rgb="FF000000"/>
      <name val="Cambria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4.0"/>
      <color rgb="FF000000"/>
      <name val="Cambria"/>
    </font>
    <font>
      <b val="1"/>
      <i val="0"/>
      <strike val="0"/>
      <u val="none"/>
      <sz val="8.0"/>
      <color rgb="FF000000"/>
      <name val="Cambri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7" numFmtId="164" fillId="0" borderId="6" applyFont="1" applyNumberFormat="1" applyFill="0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164" fillId="0" borderId="5" applyFont="1" applyNumberFormat="1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9" numFmtId="0" fillId="0" borderId="6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10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1" fillId="0" borderId="5" applyFont="1" applyNumberFormat="1" applyFill="0" applyBorder="1" applyAlignment="1">
      <alignment horizontal="center" vertical="center" textRotation="0" wrapText="false" shrinkToFit="false"/>
    </xf>
    <xf xfId="0" fontId="6" numFmtId="4" fillId="0" borderId="6" applyFont="1" applyNumberFormat="1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0" borderId="6" applyFont="1" applyNumberFormat="0" applyFill="0" applyBorder="1" applyAlignment="1">
      <alignment horizontal="center" vertical="center" textRotation="0" wrapText="false" shrinkToFit="false"/>
    </xf>
    <xf xfId="0" fontId="13" numFmtId="0" fillId="0" borderId="6" applyFont="1" applyNumberFormat="0" applyFill="0" applyBorder="1" applyAlignment="1">
      <alignment horizontal="center" vertical="center" textRotation="0" wrapText="false" shrinkToFit="false"/>
    </xf>
    <xf xfId="0" fontId="1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sheetData>
    <row r="1" spans="1:26">
      <c r="A1" s="6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7" t="s">
        <v>1</v>
      </c>
      <c r="B2" s="8" t="s">
        <v>2</v>
      </c>
      <c r="C2" s="3"/>
      <c r="D2" s="3"/>
      <c r="E2" s="3"/>
      <c r="F2" s="1"/>
      <c r="G2" s="7" t="s">
        <v>3</v>
      </c>
      <c r="H2" s="9" t="s">
        <v>4</v>
      </c>
      <c r="I2" s="1"/>
      <c r="J2" s="10" t="str">
        <f>IMAGE("https://quickchart.io/qr?size=120&amp;text=T-02064%2F26")</f>
        <v>0</v>
      </c>
      <c r="K2" s="1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7" t="s">
        <v>5</v>
      </c>
      <c r="B3" s="12" t="s">
        <v>6</v>
      </c>
      <c r="C3" s="3"/>
      <c r="D3" s="3"/>
      <c r="E3" s="3"/>
      <c r="F3" s="1"/>
      <c r="G3" s="7" t="s">
        <v>7</v>
      </c>
      <c r="H3" s="9">
        <v>22114411.0</v>
      </c>
      <c r="I3" s="1"/>
      <c r="J3" s="13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7" t="s">
        <v>8</v>
      </c>
      <c r="B4" s="15"/>
      <c r="C4" s="1"/>
      <c r="D4" s="16">
        <v>46231.0</v>
      </c>
      <c r="E4" s="17" t="s">
        <v>9</v>
      </c>
      <c r="F4" s="1"/>
      <c r="G4" s="18"/>
      <c r="H4" s="1"/>
      <c r="I4" s="19" t="s">
        <v>10</v>
      </c>
      <c r="J4" s="20">
        <v>46242.0</v>
      </c>
      <c r="K4" s="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21" t="s">
        <v>11</v>
      </c>
      <c r="B5" s="22" t="s">
        <v>12</v>
      </c>
      <c r="C5" s="3"/>
      <c r="D5" s="1"/>
      <c r="E5" s="23"/>
      <c r="F5" s="21" t="s">
        <v>13</v>
      </c>
      <c r="G5" s="7" t="s">
        <v>7</v>
      </c>
      <c r="H5" s="7" t="s">
        <v>14</v>
      </c>
      <c r="I5" s="7" t="s">
        <v>15</v>
      </c>
      <c r="J5" s="7" t="s">
        <v>16</v>
      </c>
      <c r="K5" s="7" t="s">
        <v>17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21" t="s">
        <v>18</v>
      </c>
      <c r="B6" s="15"/>
      <c r="C6" s="3"/>
      <c r="D6" s="1"/>
      <c r="E6" s="21">
        <v>1.0</v>
      </c>
      <c r="F6" s="7"/>
      <c r="G6" s="7" t="s">
        <v>19</v>
      </c>
      <c r="H6" s="24"/>
      <c r="I6" s="7" t="s">
        <v>19</v>
      </c>
      <c r="J6" s="7" t="str">
        <f>K6/SUM($B$33:$C$42)</f>
        <v>0</v>
      </c>
      <c r="K6" s="7" t="str">
        <f>0.23*1.5*$G$15</f>
        <v>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21" t="s">
        <v>20</v>
      </c>
      <c r="B7" s="25" t="s">
        <v>21</v>
      </c>
      <c r="C7" s="3"/>
      <c r="D7" s="1"/>
      <c r="E7" s="21">
        <v>2.0</v>
      </c>
      <c r="F7" s="7"/>
      <c r="G7" s="26" t="s">
        <v>22</v>
      </c>
      <c r="H7" s="26"/>
      <c r="I7" s="26" t="s">
        <v>23</v>
      </c>
      <c r="J7" s="7" t="str">
        <f>K7/SUM($B$33:$C$42)</f>
        <v>0</v>
      </c>
      <c r="K7" s="7" t="str">
        <f>0.23*1.5*$G$15</f>
        <v>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21" t="s">
        <v>24</v>
      </c>
      <c r="B8" s="25" t="s">
        <v>25</v>
      </c>
      <c r="C8" s="3"/>
      <c r="D8" s="1"/>
      <c r="E8" s="21">
        <v>3.0</v>
      </c>
      <c r="F8" s="7"/>
      <c r="G8" s="7" t="s">
        <v>22</v>
      </c>
      <c r="H8" s="7"/>
      <c r="I8" s="7" t="s">
        <v>23</v>
      </c>
      <c r="J8" s="7" t="str">
        <f>K8/SUM($B$33:$C$42)</f>
        <v>0</v>
      </c>
      <c r="K8" s="7" t="str">
        <f>0.23*1.5*$G$15</f>
        <v>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21" t="s">
        <v>26</v>
      </c>
      <c r="B9" s="25" t="s">
        <v>25</v>
      </c>
      <c r="C9" s="3"/>
      <c r="D9" s="1"/>
      <c r="E9" s="21">
        <v>4.0</v>
      </c>
      <c r="F9" s="7"/>
      <c r="G9" s="7"/>
      <c r="H9" s="24"/>
      <c r="I9" s="7"/>
      <c r="J9" s="7" t="str">
        <f>K9/SUM($B$33:$C$42)</f>
        <v>0</v>
      </c>
      <c r="K9" s="7" t="str">
        <f>0.23*1.5*$G$15</f>
        <v>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21" t="s">
        <v>27</v>
      </c>
      <c r="B10" s="25" t="s">
        <v>28</v>
      </c>
      <c r="C10" s="3"/>
      <c r="D10" s="1"/>
      <c r="E10" s="21">
        <v>5.0</v>
      </c>
      <c r="F10" s="24"/>
      <c r="G10" s="24"/>
      <c r="H10" s="24"/>
      <c r="I10" s="24"/>
      <c r="J10" s="7" t="str">
        <f>K10/SUM($B$33:$C$42)</f>
        <v>0</v>
      </c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1" t="s">
        <v>29</v>
      </c>
      <c r="B11" s="25" t="s">
        <v>30</v>
      </c>
      <c r="C11" s="3"/>
      <c r="D11" s="1"/>
      <c r="E11" s="21">
        <v>6.0</v>
      </c>
      <c r="F11" s="24"/>
      <c r="G11" s="24"/>
      <c r="H11" s="24"/>
      <c r="I11" s="24"/>
      <c r="J11" s="7" t="str">
        <f>K11/SUM($B$33:$C$42)</f>
        <v>0</v>
      </c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1" t="s">
        <v>31</v>
      </c>
      <c r="B12" s="15"/>
      <c r="C12" s="3"/>
      <c r="D12" s="1"/>
      <c r="E12" s="21">
        <v>7.0</v>
      </c>
      <c r="F12" s="24"/>
      <c r="G12" s="23"/>
      <c r="H12" s="23"/>
      <c r="I12" s="23"/>
      <c r="J12" s="7" t="str">
        <f>K12/SUM($B$33:$C$42)</f>
        <v>0</v>
      </c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21" t="s">
        <v>32</v>
      </c>
      <c r="B13" s="15"/>
      <c r="C13" s="3"/>
      <c r="D13" s="1"/>
      <c r="E13" s="21">
        <v>8.0</v>
      </c>
      <c r="F13" s="23"/>
      <c r="G13" s="23"/>
      <c r="H13" s="23"/>
      <c r="I13" s="25" t="s">
        <v>33</v>
      </c>
      <c r="J13" s="1"/>
      <c r="K13" s="21" t="str">
        <f>0.532*G15*1.1</f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21" t="s">
        <v>34</v>
      </c>
      <c r="B14" s="19" t="s">
        <v>35</v>
      </c>
      <c r="C14" s="21" t="s">
        <v>36</v>
      </c>
      <c r="D14" s="25" t="s">
        <v>37</v>
      </c>
      <c r="E14" s="3"/>
      <c r="F14" s="1"/>
      <c r="G14" s="19" t="s">
        <v>38</v>
      </c>
      <c r="H14" s="25" t="s">
        <v>39</v>
      </c>
      <c r="I14" s="3"/>
      <c r="J14" s="1"/>
      <c r="K14" s="21" t="s">
        <v>40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27"/>
      <c r="B15" s="28"/>
      <c r="C15" s="29"/>
      <c r="D15" s="7" t="s">
        <v>41</v>
      </c>
      <c r="E15" s="25" t="str">
        <f>5*4</f>
        <v>0</v>
      </c>
      <c r="F15" s="1"/>
      <c r="G15" s="28" t="str">
        <f>SUM(B33:C42)*1.1</f>
        <v>0</v>
      </c>
      <c r="H15" s="7" t="s">
        <v>41</v>
      </c>
      <c r="I15" s="30" t="str">
        <f>+G15/E15</f>
        <v>0</v>
      </c>
      <c r="J15" s="1"/>
      <c r="K15" s="31" t="str">
        <f>+I15*A15/(420*500)</f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7" t="s">
        <v>42</v>
      </c>
      <c r="E16" s="25" t="str">
        <f>8*4</f>
        <v>0</v>
      </c>
      <c r="F16" s="1"/>
      <c r="G16" s="2"/>
      <c r="H16" s="7" t="s">
        <v>42</v>
      </c>
      <c r="I16" s="30" t="str">
        <f>+G15/E16</f>
        <v>0</v>
      </c>
      <c r="J16" s="1"/>
      <c r="K16" s="31" t="str">
        <f>+I16*A15/144000</f>
        <v>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3" t="s">
        <v>43</v>
      </c>
      <c r="B18" s="11"/>
      <c r="C18" s="22" t="s">
        <v>44</v>
      </c>
      <c r="D18" s="3"/>
      <c r="E18" s="3"/>
      <c r="F18" s="1"/>
      <c r="G18" s="34" t="s">
        <v>45</v>
      </c>
      <c r="H18" s="4"/>
      <c r="I18" s="4"/>
      <c r="J18" s="4"/>
      <c r="K18" s="1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3"/>
      <c r="B19" s="14"/>
      <c r="C19" s="35" t="s">
        <v>46</v>
      </c>
      <c r="D19" s="1"/>
      <c r="E19" s="35" t="s">
        <v>47</v>
      </c>
      <c r="F19" s="1"/>
      <c r="G19" s="36"/>
      <c r="K19" s="3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22" t="s">
        <v>48</v>
      </c>
      <c r="B20" s="1"/>
      <c r="C20" s="22"/>
      <c r="D20" s="1"/>
      <c r="E20" s="38"/>
      <c r="F20" s="1"/>
      <c r="G20" s="36"/>
      <c r="K20" s="3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39"/>
      <c r="B21" s="1"/>
      <c r="C21" s="39"/>
      <c r="D21" s="1"/>
      <c r="E21" s="39"/>
      <c r="F21" s="1"/>
      <c r="G21" s="36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39"/>
      <c r="B22" s="1"/>
      <c r="C22" s="39"/>
      <c r="D22" s="1"/>
      <c r="E22" s="39"/>
      <c r="F22" s="1"/>
      <c r="G22" s="36"/>
      <c r="K22" s="3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39"/>
      <c r="B23" s="1"/>
      <c r="C23" s="39"/>
      <c r="D23" s="1"/>
      <c r="E23" s="39"/>
      <c r="F23" s="1"/>
      <c r="G23" s="36"/>
      <c r="K23" s="3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39"/>
      <c r="B24" s="1"/>
      <c r="C24" s="39"/>
      <c r="D24" s="1"/>
      <c r="E24" s="39"/>
      <c r="F24" s="1"/>
      <c r="G24" s="36"/>
      <c r="K24" s="3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39"/>
      <c r="B25" s="1"/>
      <c r="C25" s="39"/>
      <c r="D25" s="1"/>
      <c r="E25" s="39"/>
      <c r="F25" s="1"/>
      <c r="G25" s="36"/>
      <c r="K25" s="3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39"/>
      <c r="B26" s="1"/>
      <c r="C26" s="39"/>
      <c r="D26" s="1"/>
      <c r="E26" s="39"/>
      <c r="F26" s="1"/>
      <c r="G26" s="36"/>
      <c r="K26" s="3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39"/>
      <c r="B27" s="1"/>
      <c r="C27" s="39"/>
      <c r="D27" s="1"/>
      <c r="E27" s="39"/>
      <c r="F27" s="1"/>
      <c r="G27" s="36"/>
      <c r="K27" s="3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39"/>
      <c r="B28" s="1"/>
      <c r="C28" s="39"/>
      <c r="D28" s="1"/>
      <c r="E28" s="39"/>
      <c r="F28" s="1"/>
      <c r="G28" s="36"/>
      <c r="K28" s="3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39"/>
      <c r="B29" s="1"/>
      <c r="C29" s="39"/>
      <c r="D29" s="1"/>
      <c r="E29" s="39"/>
      <c r="F29" s="1"/>
      <c r="G29" s="36"/>
      <c r="K29" s="3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39"/>
      <c r="B30" s="1"/>
      <c r="C30" s="39"/>
      <c r="D30" s="1"/>
      <c r="E30" s="39"/>
      <c r="F30" s="1"/>
      <c r="G30" s="13"/>
      <c r="H30" s="40"/>
      <c r="I30" s="40"/>
      <c r="J30" s="40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41" t="s">
        <v>49</v>
      </c>
      <c r="B31" s="33" t="s">
        <v>50</v>
      </c>
      <c r="C31" s="11"/>
      <c r="D31" s="33" t="s">
        <v>51</v>
      </c>
      <c r="E31" s="4"/>
      <c r="F31" s="11"/>
      <c r="G31" s="22" t="s">
        <v>52</v>
      </c>
      <c r="H31" s="3"/>
      <c r="I31" s="3"/>
      <c r="J31" s="3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2"/>
      <c r="B32" s="13"/>
      <c r="C32" s="14"/>
      <c r="D32" s="13"/>
      <c r="E32" s="40"/>
      <c r="F32" s="14"/>
      <c r="G32" s="42" t="s">
        <v>53</v>
      </c>
      <c r="H32" s="43" t="s">
        <v>54</v>
      </c>
      <c r="I32" s="43" t="s">
        <v>55</v>
      </c>
      <c r="J32" s="43" t="s">
        <v>56</v>
      </c>
      <c r="K32" s="42" t="s">
        <v>57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7">
        <v>22114411.0</v>
      </c>
      <c r="B33" s="25">
        <v>27200.0</v>
      </c>
      <c r="C33" s="1"/>
      <c r="D33" s="38"/>
      <c r="E33" s="3"/>
      <c r="F33" s="1"/>
      <c r="G33" s="44"/>
      <c r="H33" s="23"/>
      <c r="I33" s="23"/>
      <c r="J33" s="23"/>
      <c r="K33" s="2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45"/>
      <c r="B34" s="46"/>
      <c r="C34" s="1"/>
      <c r="D34" s="47"/>
      <c r="E34" s="3"/>
      <c r="F34" s="48"/>
      <c r="G34" s="49"/>
      <c r="H34" s="23"/>
      <c r="I34" s="23"/>
      <c r="J34" s="23"/>
      <c r="K34" s="5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45"/>
      <c r="B35" s="46"/>
      <c r="C35" s="1"/>
      <c r="D35" s="47"/>
      <c r="E35" s="3"/>
      <c r="F35" s="48"/>
      <c r="G35" s="49"/>
      <c r="H35" s="23"/>
      <c r="I35" s="23"/>
      <c r="J35" s="23"/>
      <c r="K35" s="5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45"/>
      <c r="B36" s="46"/>
      <c r="C36" s="1"/>
      <c r="D36" s="47"/>
      <c r="E36" s="3"/>
      <c r="F36" s="48"/>
      <c r="G36" s="51"/>
      <c r="H36" s="24"/>
      <c r="I36" s="23"/>
      <c r="J36" s="23"/>
      <c r="K36" s="5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45"/>
      <c r="B37" s="46"/>
      <c r="C37" s="1"/>
      <c r="D37" s="47"/>
      <c r="E37" s="3"/>
      <c r="F37" s="48"/>
      <c r="G37" s="50"/>
      <c r="H37" s="23"/>
      <c r="I37" s="23"/>
      <c r="J37" s="23"/>
      <c r="K37" s="5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45"/>
      <c r="B38" s="46"/>
      <c r="C38" s="1"/>
      <c r="D38" s="47"/>
      <c r="E38" s="3"/>
      <c r="F38" s="48"/>
      <c r="G38" s="50"/>
      <c r="H38" s="23"/>
      <c r="I38" s="23"/>
      <c r="J38" s="23"/>
      <c r="K38" s="5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45"/>
      <c r="B39" s="46"/>
      <c r="C39" s="1"/>
      <c r="D39" s="47"/>
      <c r="E39" s="3"/>
      <c r="F39" s="48"/>
      <c r="G39" s="50"/>
      <c r="H39" s="23"/>
      <c r="I39" s="23"/>
      <c r="J39" s="23"/>
      <c r="K39" s="5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45"/>
      <c r="B40" s="46"/>
      <c r="C40" s="1"/>
      <c r="D40" s="47"/>
      <c r="E40" s="3"/>
      <c r="F40" s="48"/>
      <c r="G40" s="50"/>
      <c r="H40" s="23"/>
      <c r="I40" s="23"/>
      <c r="J40" s="23"/>
      <c r="K40" s="5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45"/>
      <c r="B41" s="46"/>
      <c r="C41" s="1"/>
      <c r="D41" s="47"/>
      <c r="E41" s="3"/>
      <c r="F41" s="48"/>
      <c r="G41" s="50"/>
      <c r="H41" s="23"/>
      <c r="I41" s="23"/>
      <c r="J41" s="23"/>
      <c r="K41" s="5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45"/>
      <c r="B42" s="46"/>
      <c r="C42" s="1"/>
      <c r="D42" s="47"/>
      <c r="E42" s="3"/>
      <c r="F42" s="48"/>
      <c r="G42" s="50"/>
      <c r="H42" s="50"/>
      <c r="I42" s="50"/>
      <c r="J42" s="50"/>
      <c r="K42" s="5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2:D22"/>
    <mergeCell ref="C23:D23"/>
    <mergeCell ref="C24:D24"/>
    <mergeCell ref="C19:D19"/>
    <mergeCell ref="E19:F19"/>
    <mergeCell ref="C20:D20"/>
    <mergeCell ref="E20:F20"/>
    <mergeCell ref="C21:D21"/>
    <mergeCell ref="E21:F21"/>
    <mergeCell ref="E22:F22"/>
    <mergeCell ref="B15:B16"/>
    <mergeCell ref="A18:B19"/>
    <mergeCell ref="A20:B20"/>
    <mergeCell ref="A21:B21"/>
    <mergeCell ref="A22:B22"/>
    <mergeCell ref="A23:B23"/>
    <mergeCell ref="A24:B24"/>
    <mergeCell ref="B36:C36"/>
    <mergeCell ref="B37:C37"/>
    <mergeCell ref="B38:C38"/>
    <mergeCell ref="B39:C39"/>
    <mergeCell ref="B40:C40"/>
    <mergeCell ref="B41:C41"/>
    <mergeCell ref="B42:C42"/>
    <mergeCell ref="A27:B27"/>
    <mergeCell ref="A28:B28"/>
    <mergeCell ref="A31:A32"/>
    <mergeCell ref="B31:C32"/>
    <mergeCell ref="B33:C33"/>
    <mergeCell ref="B34:C34"/>
    <mergeCell ref="B35:C35"/>
    <mergeCell ref="A25:B25"/>
    <mergeCell ref="A26:B26"/>
    <mergeCell ref="C26:D26"/>
    <mergeCell ref="E26:F26"/>
    <mergeCell ref="C27:D27"/>
    <mergeCell ref="E27:F27"/>
    <mergeCell ref="E28:F28"/>
    <mergeCell ref="C28:D28"/>
    <mergeCell ref="A29:B29"/>
    <mergeCell ref="C29:D29"/>
    <mergeCell ref="E29:F29"/>
    <mergeCell ref="A30:B30"/>
    <mergeCell ref="C30:D30"/>
    <mergeCell ref="E30:F30"/>
    <mergeCell ref="A1:K1"/>
    <mergeCell ref="B2:F2"/>
    <mergeCell ref="H2:I2"/>
    <mergeCell ref="J2:K3"/>
    <mergeCell ref="B3:F3"/>
    <mergeCell ref="H3:I3"/>
    <mergeCell ref="B4:C4"/>
    <mergeCell ref="J4:K4"/>
    <mergeCell ref="E4:F4"/>
    <mergeCell ref="G4:H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I13:J13"/>
    <mergeCell ref="D14:F14"/>
    <mergeCell ref="H14:J14"/>
    <mergeCell ref="I16:J16"/>
    <mergeCell ref="G18:K30"/>
    <mergeCell ref="G31:K31"/>
    <mergeCell ref="A15:A16"/>
    <mergeCell ref="C15:C16"/>
    <mergeCell ref="E15:F15"/>
    <mergeCell ref="G15:G16"/>
    <mergeCell ref="I15:J15"/>
    <mergeCell ref="E16:F16"/>
    <mergeCell ref="C18:F18"/>
    <mergeCell ref="E23:F23"/>
    <mergeCell ref="E24:F24"/>
    <mergeCell ref="C25:D25"/>
    <mergeCell ref="E25:F25"/>
    <mergeCell ref="D39:F39"/>
    <mergeCell ref="D40:F40"/>
    <mergeCell ref="D41:F41"/>
    <mergeCell ref="D42:F42"/>
    <mergeCell ref="D31:F32"/>
    <mergeCell ref="D33:F33"/>
    <mergeCell ref="D34:F34"/>
    <mergeCell ref="D35:F35"/>
    <mergeCell ref="D36:F36"/>
    <mergeCell ref="D37:F37"/>
    <mergeCell ref="D38:F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LENH_DET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2026-07-28T07:34:30+02:00</dcterms:created>
  <dcterms:modified xsi:type="dcterms:W3CDTF">2026-07-28T07:34:30+02:00</dcterms:modified>
  <dc:title>Untitled Spreadsheet</dc:title>
  <dc:description/>
  <dc:subject/>
  <cp:keywords/>
  <cp:category/>
</cp:coreProperties>
</file>